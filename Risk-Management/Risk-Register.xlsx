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<sst xmlns="http://schemas.openxmlformats.org/spreadsheetml/2006/main" count="48" uniqueCount="45">
  <si>
    <t xml:space="preserve">NovaPay — Risk Register</t>
  </si>
  <si>
    <t xml:space="preserve">Reference: 09-Training-Awareness / Awareness-Plan.md — Information Security Risk Assessment</t>
  </si>
  <si>
    <t xml:space="preserve">Legend: Yellow rows = example entries. Risk Score = Likelihood x Impact (auto-calculated). Likelihood/Impact rated 1 (low) to 5 (high). Overwrite or delete example rows before use.</t>
  </si>
  <si>
    <t xml:space="preserve">Risk ID</t>
  </si>
  <si>
    <t xml:space="preserve">Asset</t>
  </si>
  <si>
    <t xml:space="preserve">Threat</t>
  </si>
  <si>
    <t xml:space="preserve">Vulnerability</t>
  </si>
  <si>
    <t xml:space="preserve">Likelihood (1-5)</t>
  </si>
  <si>
    <t xml:space="preserve">Impact (1-5)</t>
  </si>
  <si>
    <t xml:space="preserve">Risk Score (L x I)</t>
  </si>
  <si>
    <t xml:space="preserve">Treatment Option</t>
  </si>
  <si>
    <t xml:space="preserve">Control(s)</t>
  </si>
  <si>
    <t xml:space="preserve">Owner</t>
  </si>
  <si>
    <t xml:space="preserve">Status</t>
  </si>
  <si>
    <t xml:space="preserve">Review Date</t>
  </si>
  <si>
    <t xml:space="preserve">R-001</t>
  </si>
  <si>
    <t xml:space="preserve">User Accounts</t>
  </si>
  <si>
    <t xml:space="preserve">Weak Passwords</t>
  </si>
  <si>
    <t xml:space="preserve">Poor Hygiene</t>
  </si>
  <si>
    <t xml:space="preserve">Reduce</t>
  </si>
  <si>
    <t xml:space="preserve">A.5.17</t>
  </si>
  <si>
    <t xml:space="preserve">IT Ops</t>
  </si>
  <si>
    <t xml:space="preserve">In Progress</t>
  </si>
  <si>
    <t xml:space="preserve">2026-09-01</t>
  </si>
  <si>
    <t xml:space="preserve">R-002</t>
  </si>
  <si>
    <t xml:space="preserve">Servers</t>
  </si>
  <si>
    <t xml:space="preserve">Missing Patches</t>
  </si>
  <si>
    <t xml:space="preserve">Outdated OS</t>
  </si>
  <si>
    <t xml:space="preserve">A.8.9</t>
  </si>
  <si>
    <t xml:space="preserve">DevOps</t>
  </si>
  <si>
    <t xml:space="preserve">Planned</t>
  </si>
  <si>
    <t xml:space="preserve">2026-08-15</t>
  </si>
  <si>
    <t xml:space="preserve">R-003</t>
  </si>
  <si>
    <t xml:space="preserve">Cloud Provider</t>
  </si>
  <si>
    <t xml:space="preserve">Outage</t>
  </si>
  <si>
    <t xml:space="preserve">Supplier Dependency</t>
  </si>
  <si>
    <t xml:space="preserve">A.5.19</t>
  </si>
  <si>
    <t xml:space="preserve">Procurement</t>
  </si>
  <si>
    <t xml:space="preserve">2026-10-01</t>
  </si>
  <si>
    <t xml:space="preserve">Summary</t>
  </si>
  <si>
    <t xml:space="preserve">Total Risks Logged:</t>
  </si>
  <si>
    <t xml:space="preserve">High Risk (Score &gt;= 15):</t>
  </si>
  <si>
    <t xml:space="preserve">Medium Risk (9-14):</t>
  </si>
  <si>
    <t xml:space="preserve">Low Risk (&lt;=8):</t>
  </si>
  <si>
    <t xml:space="preserve">Open / In Progress: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</si>
</sst>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CB"/>
        </patternFill>
      </fill>
    </dxf>
    <dxf>
      <fill>
        <patternFill>
          <bgColor rgb="FFFDEBC8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DEBC8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12"/>
    <col collapsed="false" customWidth="true" hidden="false" outlineLevel="0" max="12" min="10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5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customFormat="false" ht="31.5" hidden="false" customHeight="tru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</row>
    <row r="7" customFormat="false" ht="15" hidden="false" customHeight="false" outlineLevel="0" collapsed="false">
      <c r="A7" s="5" t="s">
        <v>15</v>
      </c>
      <c r="B7" s="5" t="s">
        <v>16</v>
      </c>
      <c r="C7" s="5" t="s">
        <v>17</v>
      </c>
      <c r="D7" s="5" t="s">
        <v>18</v>
      </c>
      <c r="E7" s="6" t="n">
        <v>4</v>
      </c>
      <c r="F7" s="6" t="n">
        <v>4</v>
      </c>
      <c r="G7" s="7" t="n">
        <f aca="false">E7*F7</f>
        <v>16</v>
      </c>
      <c r="H7" s="5" t="s">
        <v>19</v>
      </c>
      <c r="I7" s="5" t="s">
        <v>20</v>
      </c>
      <c r="J7" s="5" t="s">
        <v>21</v>
      </c>
      <c r="K7" s="5" t="s">
        <v>22</v>
      </c>
      <c r="L7" s="5" t="s">
        <v>23</v>
      </c>
    </row>
    <row r="8" customFormat="false" ht="15" hidden="false" customHeight="false" outlineLevel="0" collapsed="false">
      <c r="A8" s="5" t="s">
        <v>24</v>
      </c>
      <c r="B8" s="5" t="s">
        <v>25</v>
      </c>
      <c r="C8" s="5" t="s">
        <v>26</v>
      </c>
      <c r="D8" s="5" t="s">
        <v>27</v>
      </c>
      <c r="E8" s="6" t="n">
        <v>5</v>
      </c>
      <c r="F8" s="6" t="n">
        <v>4</v>
      </c>
      <c r="G8" s="7" t="n">
        <f aca="false">E8*F8</f>
        <v>20</v>
      </c>
      <c r="H8" s="5" t="s">
        <v>19</v>
      </c>
      <c r="I8" s="5" t="s">
        <v>28</v>
      </c>
      <c r="J8" s="5" t="s">
        <v>29</v>
      </c>
      <c r="K8" s="5" t="s">
        <v>30</v>
      </c>
      <c r="L8" s="5" t="s">
        <v>31</v>
      </c>
    </row>
    <row r="9" customFormat="false" ht="15" hidden="false" customHeight="false" outlineLevel="0" collapsed="false">
      <c r="A9" s="5" t="s">
        <v>32</v>
      </c>
      <c r="B9" s="5" t="s">
        <v>33</v>
      </c>
      <c r="C9" s="5" t="s">
        <v>34</v>
      </c>
      <c r="D9" s="5" t="s">
        <v>35</v>
      </c>
      <c r="E9" s="6" t="n">
        <v>3</v>
      </c>
      <c r="F9" s="6" t="n">
        <v>4</v>
      </c>
      <c r="G9" s="7" t="n">
        <f aca="false">E9*F9</f>
        <v>12</v>
      </c>
      <c r="H9" s="5" t="s">
        <v>19</v>
      </c>
      <c r="I9" s="5" t="s">
        <v>36</v>
      </c>
      <c r="J9" s="5" t="s">
        <v>37</v>
      </c>
      <c r="K9" s="5" t="s">
        <v>30</v>
      </c>
      <c r="L9" s="5" t="s">
        <v>38</v>
      </c>
    </row>
    <row r="10" customFormat="false" ht="15" hidden="false" customHeight="false" outlineLevel="0" collapsed="false">
      <c r="A10" s="8"/>
      <c r="B10" s="8"/>
      <c r="C10" s="8"/>
      <c r="D10" s="8"/>
      <c r="E10" s="9"/>
      <c r="F10" s="9"/>
      <c r="G10" s="9" t="str">
        <f aca="false">IF(OR(E10="",F10=""),"",E10*F10)</f>
        <v/>
      </c>
      <c r="H10" s="8"/>
      <c r="I10" s="8"/>
      <c r="J10" s="8"/>
      <c r="K10" s="8"/>
      <c r="L10" s="8"/>
    </row>
    <row r="11" customFormat="false" ht="15" hidden="false" customHeight="false" outlineLevel="0" collapsed="false">
      <c r="A11" s="10"/>
      <c r="B11" s="10"/>
      <c r="C11" s="10"/>
      <c r="D11" s="10"/>
      <c r="E11" s="11"/>
      <c r="F11" s="11"/>
      <c r="G11" s="11" t="str">
        <f aca="false">IF(OR(E11="",F11=""),"",E11*F11)</f>
        <v/>
      </c>
      <c r="H11" s="10"/>
      <c r="I11" s="10"/>
      <c r="J11" s="10"/>
      <c r="K11" s="10"/>
      <c r="L11" s="10"/>
    </row>
    <row r="12" customFormat="false" ht="15" hidden="false" customHeight="false" outlineLevel="0" collapsed="false">
      <c r="A12" s="8"/>
      <c r="B12" s="8"/>
      <c r="C12" s="8"/>
      <c r="D12" s="8"/>
      <c r="E12" s="9"/>
      <c r="F12" s="9"/>
      <c r="G12" s="9" t="str">
        <f aca="false">IF(OR(E12="",F12=""),"",E12*F12)</f>
        <v/>
      </c>
      <c r="H12" s="8"/>
      <c r="I12" s="8"/>
      <c r="J12" s="8"/>
      <c r="K12" s="8"/>
      <c r="L12" s="8"/>
    </row>
    <row r="13" customFormat="false" ht="15" hidden="false" customHeight="false" outlineLevel="0" collapsed="false">
      <c r="A13" s="10"/>
      <c r="B13" s="10"/>
      <c r="C13" s="10"/>
      <c r="D13" s="10"/>
      <c r="E13" s="11"/>
      <c r="F13" s="11"/>
      <c r="G13" s="11" t="str">
        <f aca="false">IF(OR(E13="",F13=""),"",E13*F13)</f>
        <v/>
      </c>
      <c r="H13" s="10"/>
      <c r="I13" s="10"/>
      <c r="J13" s="10"/>
      <c r="K13" s="10"/>
      <c r="L13" s="10"/>
    </row>
    <row r="14" customFormat="false" ht="15" hidden="false" customHeight="false" outlineLevel="0" collapsed="false">
      <c r="A14" s="8"/>
      <c r="B14" s="8"/>
      <c r="C14" s="8"/>
      <c r="D14" s="8"/>
      <c r="E14" s="9"/>
      <c r="F14" s="9"/>
      <c r="G14" s="9" t="str">
        <f aca="false">IF(OR(E14="",F14=""),"",E14*F14)</f>
        <v/>
      </c>
      <c r="H14" s="8"/>
      <c r="I14" s="8"/>
      <c r="J14" s="8"/>
      <c r="K14" s="8"/>
      <c r="L14" s="8"/>
    </row>
    <row r="15" customFormat="false" ht="15" hidden="false" customHeight="false" outlineLevel="0" collapsed="false">
      <c r="A15" s="10"/>
      <c r="B15" s="10"/>
      <c r="C15" s="10"/>
      <c r="D15" s="10"/>
      <c r="E15" s="11"/>
      <c r="F15" s="11"/>
      <c r="G15" s="11" t="str">
        <f aca="false">IF(OR(E15="",F15=""),"",E15*F15)</f>
        <v/>
      </c>
      <c r="H15" s="10"/>
      <c r="I15" s="10"/>
      <c r="J15" s="10"/>
      <c r="K15" s="10"/>
      <c r="L15" s="10"/>
    </row>
    <row r="16" customFormat="false" ht="15" hidden="false" customHeight="false" outlineLevel="0" collapsed="false">
      <c r="A16" s="8"/>
      <c r="B16" s="8"/>
      <c r="C16" s="8"/>
      <c r="D16" s="8"/>
      <c r="E16" s="9"/>
      <c r="F16" s="9"/>
      <c r="G16" s="9" t="str">
        <f aca="false">IF(OR(E16="",F16=""),"",E16*F16)</f>
        <v/>
      </c>
      <c r="H16" s="8"/>
      <c r="I16" s="8"/>
      <c r="J16" s="8"/>
      <c r="K16" s="8"/>
      <c r="L16" s="8"/>
    </row>
    <row r="17" customFormat="false" ht="15" hidden="false" customHeight="false" outlineLevel="0" collapsed="false">
      <c r="A17" s="10"/>
      <c r="B17" s="10"/>
      <c r="C17" s="10"/>
      <c r="D17" s="10"/>
      <c r="E17" s="11"/>
      <c r="F17" s="11"/>
      <c r="G17" s="11" t="str">
        <f aca="false">IF(OR(E17="",F17=""),"",E17*F17)</f>
        <v/>
      </c>
      <c r="H17" s="10"/>
      <c r="I17" s="10"/>
      <c r="J17" s="10"/>
      <c r="K17" s="10"/>
      <c r="L17" s="10"/>
    </row>
    <row r="18" customFormat="false" ht="15" hidden="false" customHeight="false" outlineLevel="0" collapsed="false">
      <c r="A18" s="8"/>
      <c r="B18" s="8"/>
      <c r="C18" s="8"/>
      <c r="D18" s="8"/>
      <c r="E18" s="9"/>
      <c r="F18" s="9"/>
      <c r="G18" s="9" t="str">
        <f aca="false">IF(OR(E18="",F18=""),"",E18*F18)</f>
        <v/>
      </c>
      <c r="H18" s="8"/>
      <c r="I18" s="8"/>
      <c r="J18" s="8"/>
      <c r="K18" s="8"/>
      <c r="L18" s="8"/>
    </row>
    <row r="19" customFormat="false" ht="15" hidden="false" customHeight="false" outlineLevel="0" collapsed="false">
      <c r="A19" s="10"/>
      <c r="B19" s="10"/>
      <c r="C19" s="10"/>
      <c r="D19" s="10"/>
      <c r="E19" s="11"/>
      <c r="F19" s="11"/>
      <c r="G19" s="11" t="str">
        <f aca="false">IF(OR(E19="",F19=""),"",E19*F19)</f>
        <v/>
      </c>
      <c r="H19" s="10"/>
      <c r="I19" s="10"/>
      <c r="J19" s="10"/>
      <c r="K19" s="10"/>
      <c r="L19" s="10"/>
    </row>
    <row r="20" customFormat="false" ht="15" hidden="false" customHeight="false" outlineLevel="0" collapsed="false">
      <c r="A20" s="8"/>
      <c r="B20" s="8"/>
      <c r="C20" s="8"/>
      <c r="D20" s="8"/>
      <c r="E20" s="9"/>
      <c r="F20" s="9"/>
      <c r="G20" s="9" t="str">
        <f aca="false">IF(OR(E20="",F20=""),"",E20*F20)</f>
        <v/>
      </c>
      <c r="H20" s="8"/>
      <c r="I20" s="8"/>
      <c r="J20" s="8"/>
      <c r="K20" s="8"/>
      <c r="L20" s="8"/>
    </row>
    <row r="21" customFormat="false" ht="15" hidden="false" customHeight="false" outlineLevel="0" collapsed="false">
      <c r="A21" s="10"/>
      <c r="B21" s="10"/>
      <c r="C21" s="10"/>
      <c r="D21" s="10"/>
      <c r="E21" s="11"/>
      <c r="F21" s="11"/>
      <c r="G21" s="11" t="str">
        <f aca="false">IF(OR(E21="",F21=""),"",E21*F21)</f>
        <v/>
      </c>
      <c r="H21" s="10"/>
      <c r="I21" s="10"/>
      <c r="J21" s="10"/>
      <c r="K21" s="10"/>
      <c r="L21" s="10"/>
    </row>
    <row r="22" customFormat="false" ht="15" hidden="false" customHeight="false" outlineLevel="0" collapsed="false">
      <c r="A22" s="8"/>
      <c r="B22" s="8"/>
      <c r="C22" s="8"/>
      <c r="D22" s="8"/>
      <c r="E22" s="9"/>
      <c r="F22" s="9"/>
      <c r="G22" s="9" t="str">
        <f aca="false">IF(OR(E22="",F22=""),"",E22*F22)</f>
        <v/>
      </c>
      <c r="H22" s="8"/>
      <c r="I22" s="8"/>
      <c r="J22" s="8"/>
      <c r="K22" s="8"/>
      <c r="L22" s="8"/>
    </row>
    <row r="23" customFormat="false" ht="15" hidden="false" customHeight="false" outlineLevel="0" collapsed="false">
      <c r="A23" s="10"/>
      <c r="B23" s="10"/>
      <c r="C23" s="10"/>
      <c r="D23" s="10"/>
      <c r="E23" s="11"/>
      <c r="F23" s="11"/>
      <c r="G23" s="11" t="str">
        <f aca="false">IF(OR(E23="",F23=""),"",E23*F23)</f>
        <v/>
      </c>
      <c r="H23" s="10"/>
      <c r="I23" s="10"/>
      <c r="J23" s="10"/>
      <c r="K23" s="10"/>
      <c r="L23" s="10"/>
    </row>
    <row r="24" customFormat="false" ht="15" hidden="false" customHeight="false" outlineLevel="0" collapsed="false">
      <c r="A24" s="8"/>
      <c r="B24" s="8"/>
      <c r="C24" s="8"/>
      <c r="D24" s="8"/>
      <c r="E24" s="9"/>
      <c r="F24" s="9"/>
      <c r="G24" s="9" t="str">
        <f aca="false">IF(OR(E24="",F24=""),"",E24*F24)</f>
        <v/>
      </c>
      <c r="H24" s="8"/>
      <c r="I24" s="8"/>
      <c r="J24" s="8"/>
      <c r="K24" s="8"/>
      <c r="L24" s="8"/>
    </row>
    <row r="25" customFormat="false" ht="15" hidden="false" customHeight="false" outlineLevel="0" collapsed="false">
      <c r="A25" s="10"/>
      <c r="B25" s="10"/>
      <c r="C25" s="10"/>
      <c r="D25" s="10"/>
      <c r="E25" s="11"/>
      <c r="F25" s="11"/>
      <c r="G25" s="11" t="str">
        <f aca="false">IF(OR(E25="",F25=""),"",E25*F25)</f>
        <v/>
      </c>
      <c r="H25" s="10"/>
      <c r="I25" s="10"/>
      <c r="J25" s="10"/>
      <c r="K25" s="10"/>
      <c r="L25" s="10"/>
    </row>
    <row r="26" customFormat="false" ht="15" hidden="false" customHeight="false" outlineLevel="0" collapsed="false">
      <c r="A26" s="8"/>
      <c r="B26" s="8"/>
      <c r="C26" s="8"/>
      <c r="D26" s="8"/>
      <c r="E26" s="9"/>
      <c r="F26" s="9"/>
      <c r="G26" s="9" t="str">
        <f aca="false">IF(OR(E26="",F26=""),"",E26*F26)</f>
        <v/>
      </c>
      <c r="H26" s="8"/>
      <c r="I26" s="8"/>
      <c r="J26" s="8"/>
      <c r="K26" s="8"/>
      <c r="L26" s="8"/>
    </row>
    <row r="27" customFormat="false" ht="15" hidden="false" customHeight="false" outlineLevel="0" collapsed="false">
      <c r="A27" s="10"/>
      <c r="B27" s="10"/>
      <c r="C27" s="10"/>
      <c r="D27" s="10"/>
      <c r="E27" s="11"/>
      <c r="F27" s="11"/>
      <c r="G27" s="11" t="str">
        <f aca="false">IF(OR(E27="",F27=""),"",E27*F27)</f>
        <v/>
      </c>
      <c r="H27" s="10"/>
      <c r="I27" s="10"/>
      <c r="J27" s="10"/>
      <c r="K27" s="10"/>
      <c r="L27" s="10"/>
    </row>
    <row r="28" customFormat="false" ht="15" hidden="false" customHeight="false" outlineLevel="0" collapsed="false">
      <c r="A28" s="8"/>
      <c r="B28" s="8"/>
      <c r="C28" s="8"/>
      <c r="D28" s="8"/>
      <c r="E28" s="9"/>
      <c r="F28" s="9"/>
      <c r="G28" s="9" t="str">
        <f aca="false">IF(OR(E28="",F28=""),"",E28*F28)</f>
        <v/>
      </c>
      <c r="H28" s="8"/>
      <c r="I28" s="8"/>
      <c r="J28" s="8"/>
      <c r="K28" s="8"/>
      <c r="L28" s="8"/>
    </row>
    <row r="29" customFormat="false" ht="15" hidden="false" customHeight="false" outlineLevel="0" collapsed="false">
      <c r="A29" s="10"/>
      <c r="B29" s="10"/>
      <c r="C29" s="10"/>
      <c r="D29" s="10"/>
      <c r="E29" s="11"/>
      <c r="F29" s="11"/>
      <c r="G29" s="11" t="str">
        <f aca="false">IF(OR(E29="",F29=""),"",E29*F29)</f>
        <v/>
      </c>
      <c r="H29" s="10"/>
      <c r="I29" s="10"/>
      <c r="J29" s="10"/>
      <c r="K29" s="10"/>
      <c r="L29" s="10"/>
    </row>
    <row r="31" customFormat="false" ht="15" hidden="false" customHeight="false" outlineLevel="0" collapsed="false">
      <c r="A31" s="12" t="s">
        <v>39</v>
      </c>
    </row>
    <row r="32" customFormat="false" ht="15" hidden="false" customHeight="false" outlineLevel="0" collapsed="false">
      <c r="A32" s="13" t="s">
        <v>40</v>
      </c>
      <c r="B32" s="14" t="n">
        <f aca="false">COUNTA(A7:A29)</f>
        <v>3</v>
      </c>
    </row>
    <row r="33" customFormat="false" ht="15" hidden="false" customHeight="false" outlineLevel="0" collapsed="false">
      <c r="A33" s="13" t="s">
        <v>41</v>
      </c>
      <c r="B33" s="14" t="n">
        <f aca="false">COUNTIF(G7:G29,"&gt;=15")</f>
        <v>2</v>
      </c>
    </row>
    <row r="34" customFormat="false" ht="15" hidden="false" customHeight="false" outlineLevel="0" collapsed="false">
      <c r="A34" s="13" t="s">
        <v>42</v>
      </c>
      <c r="B34" s="14" t="n">
        <f aca="false">COUNTIFS(G7:G29,"&gt;=9",G7:G29,"&lt;=14")</f>
        <v>1</v>
      </c>
    </row>
    <row r="35" customFormat="false" ht="15" hidden="false" customHeight="false" outlineLevel="0" collapsed="false">
      <c r="A35" s="13" t="s">
        <v>43</v>
      </c>
      <c r="B35" s="14" t="n">
        <f aca="false">COUNTIFS(G7:G29,"&gt;0",G7:G29,"&lt;=8")</f>
        <v>0</v>
      </c>
    </row>
    <row r="36" customFormat="false" ht="15" hidden="false" customHeight="false" outlineLevel="0" collapsed="false">
      <c r="A36" s="13" t="s">
        <v>44</v>
      </c>
      <c r="B36" s="14" t="n">
        <f aca="false">COUNTIF(K7:K29,"In Progress")+COUNTIF(K7:K29,"Planned")</f>
        <v>3</v>
      </c>
    </row>
  </sheetData>
  <mergeCells count="3">
    <mergeCell ref="A1:L1"/>
    <mergeCell ref="A2:L2"/>
    <mergeCell ref="A4:L4"/>
  </mergeCells>
  <conditionalFormatting sqref="G7:G29">
    <cfRule type="cellIs" priority="2" operator="greaterThanOrEqual" aboveAverage="0" equalAverage="0" bottom="0" percent="0" rank="0" text="" dxfId="0">
      <formula>15</formula>
    </cfRule>
    <cfRule type="cellIs" priority="3" operator="between" aboveAverage="0" equalAverage="0" bottom="0" percent="0" rank="0" text="" dxfId="1">
      <formula>9</formula>
      <formula>14</formula>
    </cfRule>
    <cfRule type="cellIs" priority="4" operator="lessThanOrEqual" aboveAverage="0" equalAverage="0" bottom="0" percent="0" rank="0" text="" dxfId="2">
      <formula>8</formula>
    </cfRule>
  </conditionalFormatting>
  <dataValidations count="4">
    <dataValidation allowBlank="true" errorStyle="stop" operator="between" showDropDown="false" showErrorMessage="false" showInputMessage="false" sqref="E7:E29" type="list">
      <formula1>"1,2,3,4,5"</formula1>
      <formula2>0</formula2>
    </dataValidation>
    <dataValidation allowBlank="true" errorStyle="stop" operator="between" showDropDown="false" showErrorMessage="false" showInputMessage="false" sqref="F7:F29" type="list">
      <formula1>"1,2,3,4,5"</formula1>
      <formula2>0</formula2>
    </dataValidation>
    <dataValidation allowBlank="true" errorStyle="stop" operator="between" showDropDown="false" showErrorMessage="false" showInputMessage="false" sqref="H7:H29" type="list">
      <formula1>"Accept,Avoid,Reduce,Transfer"</formula1>
      <formula2>0</formula2>
    </dataValidation>
    <dataValidation allowBlank="true" errorStyle="stop" operator="between" showDropDown="false" showErrorMessage="false" showInputMessage="false" sqref="K7:K29" type="list">
      <formula1>"Planned,In Progress,Complete,Overdue"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2026-08-09T23:01:09Z</dcterms:created>
  <dc:creator>openpyxl</dc:creator>
  <dc:description/>
  <dc:language>en-US</dc:language>
  <cp:lastModifiedBy/>
  <dcterms:modified xsi:type="dcterms:W3CDTF">2026-08-09T23:01:09Z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