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Reco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<sst xmlns="http://schemas.openxmlformats.org/spreadsheetml/2006/main" count="32" uniqueCount="32">
  <si>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NovaPay — Security Awareness Training Attendance Record</t>
  </si>
  <si>
    <t xml:space="preserve">Reference: 09-Training-Awareness / Awareness-Plan.md</t>
  </si>
  <si>
    <t xml:space="preserve">Legend: Yellow cells = example row showing expected format. Delete or overwrite before use. Enter one row per attendee per session.</t>
  </si>
  <si>
    <t xml:space="preserve">Employee ID</t>
  </si>
  <si>
    <t xml:space="preserve">Employee Name</t>
  </si>
  <si>
    <t xml:space="preserve">Department</t>
  </si>
  <si>
    <t xml:space="preserve">Job Role</t>
  </si>
  <si>
    <t xml:space="preserve">Training Session / Topic</t>
  </si>
  <si>
    <t xml:space="preserve">Session Date</t>
  </si>
  <si>
    <t xml:space="preserve">Delivery Method</t>
  </si>
  <si>
    <t xml:space="preserve">Attended (Y/N)</t>
  </si>
  <si>
    <t xml:space="preserve">Score / Outcome</t>
  </si>
  <si>
    <t xml:space="preserve">Trainer / Facilitator</t>
  </si>
  <si>
    <t xml:space="preserve">Employee Signature</t>
  </si>
  <si>
    <t xml:space="preserve">Notes</t>
  </si>
  <si>
    <t xml:space="preserve">NP-EMP-0142</t>
  </si>
  <si>
    <t xml:space="preserve">Amara Chen</t>
  </si>
  <si>
    <t xml:space="preserve">Finance</t>
  </si>
  <si>
    <t xml:space="preserve">Accounts Payable Analyst</t>
  </si>
  <si>
    <t xml:space="preserve">Phishing &amp; Social Engineering Awareness</t>
  </si>
  <si>
    <t xml:space="preserve">2026-08-14</t>
  </si>
  <si>
    <t xml:space="preserve">In-person</t>
  </si>
  <si>
    <t xml:space="preserve">Y</t>
  </si>
  <si>
    <t xml:space="preserve">Pass (92%)</t>
  </si>
  <si>
    <t xml:space="preserve">J. Whitfield (IT Security)</t>
  </si>
  <si>
    <t xml:space="preserve">A. Chen</t>
  </si>
  <si>
    <t xml:space="preserve">Refresher due Aug 2027</t>
  </si>
  <si>
    <t xml:space="preserve">Summary</t>
  </si>
  <si>
    <t xml:space="preserve">Total Records:</t>
  </si>
  <si>
    <t xml:space="preserve">Attended (Y):</t>
  </si>
  <si>
    <t xml:space="preserve">Not Attended (N):</t>
  </si>
  <si>
    <t xml:space="preserve">Attendance Rate: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</si>
</sst>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 customFormat="false" ht="23.85" hidden="false" customHeight="false" outlineLevel="0" collapsed="false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9" customFormat="false" ht="15" hidden="false" customHeight="false" outlineLevel="0" collapsed="false">
      <c r="A29" s="8" t="s">
        <v>27</v>
      </c>
    </row>
    <row r="30" customFormat="false" ht="15" hidden="false" customHeight="false" outlineLevel="0" collapsed="false">
      <c r="A30" s="9" t="s">
        <v>28</v>
      </c>
      <c r="B30" s="10" t="n">
        <f aca="false">COUNTA(B7:B27)-COUNTBLANK(B7:B27)</f>
        <v>-19</v>
      </c>
    </row>
    <row r="31" customFormat="false" ht="15" hidden="false" customHeight="false" outlineLevel="0" collapsed="false">
      <c r="A31" s="9" t="s">
        <v>29</v>
      </c>
      <c r="B31" s="10" t="n">
        <f aca="false">COUNTIF(H7:H27,"Y")</f>
        <v>1</v>
      </c>
    </row>
    <row r="32" customFormat="false" ht="15" hidden="false" customHeight="false" outlineLevel="0" collapsed="false">
      <c r="A32" s="9" t="s">
        <v>30</v>
      </c>
      <c r="B32" s="10" t="n">
        <f aca="false">COUNTIF(H7:H27,"N")</f>
        <v>0</v>
      </c>
    </row>
    <row r="33" customFormat="false" ht="15" hidden="false" customHeight="false" outlineLevel="0" collapsed="false">
      <c r="A33" s="9" t="s">
        <v>31</v>
      </c>
      <c r="B33" s="11" t="n">
        <f aca="false">IFERROR(B31/B30,0)</f>
        <v>-0.0526315789473684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2026-08-09T22:50:18Z</dcterms:created>
  <dc:creator>openpyxl</dc:creator>
  <dc:description/>
  <dc:language>en-US</dc:language>
  <cp:lastModifiedBy/>
  <dcterms:modified xsi:type="dcterms:W3CDTF">2026-08-09T22:50:18Z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